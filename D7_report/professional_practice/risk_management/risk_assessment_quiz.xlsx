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.sharepoint.com/teams/UnitTeams-AENG20007-2023-24-TB-4-A/Shared Documents/07 - Professional practice/Files (Read-Only for students)/Lectures/Week 07 Risk Management/Video 02 - Managing Risk/"/>
    </mc:Choice>
  </mc:AlternateContent>
  <xr:revisionPtr revIDLastSave="1" documentId="8_{F8DD85BC-4859-4A9B-B525-9483E586210E}" xr6:coauthVersionLast="47" xr6:coauthVersionMax="47" xr10:uidLastSave="{6F92E5C2-7EDE-4F69-A063-C83152AC1261}"/>
  <bookViews>
    <workbookView xWindow="28680" yWindow="-225" windowWidth="29040" windowHeight="16440" activeTab="1" xr2:uid="{0BA141A5-2FC8-4607-8C6F-C6D0B603B627}"/>
  </bookViews>
  <sheets>
    <sheet name="Sheet 1 (Scoring criteria)" sheetId="2" r:id="rId1"/>
    <sheet name="Sheet 2 (Risk assessment)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8" i="1"/>
  <c r="H10" i="1"/>
</calcChain>
</file>

<file path=xl/sharedStrings.xml><?xml version="1.0" encoding="utf-8"?>
<sst xmlns="http://schemas.openxmlformats.org/spreadsheetml/2006/main" count="79" uniqueCount="67">
  <si>
    <r>
      <t xml:space="preserve">Frequency 
</t>
    </r>
    <r>
      <rPr>
        <b/>
        <sz val="12"/>
        <color theme="1"/>
        <rFont val="Calibri"/>
        <family val="2"/>
        <scheme val="minor"/>
      </rPr>
      <t>(how often is this likely to happen?)</t>
    </r>
  </si>
  <si>
    <t>Consequence</t>
  </si>
  <si>
    <t>Safety of Pit Crew</t>
  </si>
  <si>
    <r>
      <t xml:space="preserve">Pit stop performance
</t>
    </r>
    <r>
      <rPr>
        <b/>
        <sz val="12"/>
        <color theme="1"/>
        <rFont val="Calibri"/>
        <family val="2"/>
        <scheme val="minor"/>
      </rPr>
      <t>(lost time)</t>
    </r>
  </si>
  <si>
    <t>Category Score</t>
  </si>
  <si>
    <t>Frequency</t>
  </si>
  <si>
    <t>Classification Term</t>
  </si>
  <si>
    <t>Description/Examples</t>
  </si>
  <si>
    <t>1/1000 pit stops</t>
  </si>
  <si>
    <t>Negligible</t>
  </si>
  <si>
    <t>Pain, without injury.</t>
  </si>
  <si>
    <t>&lt;0.25 seconds</t>
  </si>
  <si>
    <t>1/100 pit stops</t>
  </si>
  <si>
    <t>Minor</t>
  </si>
  <si>
    <t>Bruising. Scratch/Abrasion.</t>
  </si>
  <si>
    <t>0.25 to 2 seconds</t>
  </si>
  <si>
    <t>1/50 pit stops</t>
  </si>
  <si>
    <t>Major</t>
  </si>
  <si>
    <t xml:space="preserve">Broken bone, Minor Burn. Concussion. Penetration of skin. </t>
  </si>
  <si>
    <t>&gt;2 seconds</t>
  </si>
  <si>
    <t>1/10 pit stops</t>
  </si>
  <si>
    <t>Critical</t>
  </si>
  <si>
    <t>Major burn. Loss of function of limb or sense. Any mental impairment.</t>
  </si>
  <si>
    <t>Do not use 4 or 5 - Consequence not comparable with 4 or 5 safety category</t>
  </si>
  <si>
    <t>More than 1/10 pit stops</t>
  </si>
  <si>
    <t>Catastrophic</t>
  </si>
  <si>
    <t xml:space="preserve">Fatality. </t>
  </si>
  <si>
    <t>Project Name</t>
  </si>
  <si>
    <t>Pit-stop change of Wheel on F1 car</t>
  </si>
  <si>
    <t>Project Code</t>
  </si>
  <si>
    <t>ENG-6682</t>
  </si>
  <si>
    <t>Description and scope of Risk Assessment</t>
  </si>
  <si>
    <t xml:space="preserve">This risk assessment considers the risk of the pit crew changing the wheels on a Formula One Car. Generic risks (such as fire in the area) are considered in a separate risk assessment. The risk to race performance is also considered. </t>
  </si>
  <si>
    <t>Who are the expected users?</t>
  </si>
  <si>
    <t>Professionally trained F1 pit crew.</t>
  </si>
  <si>
    <t>Document Revision</t>
  </si>
  <si>
    <t>Revision 2.1 Approved 13/10/2021 by SWN.</t>
  </si>
  <si>
    <t>Date and Initials of reviewer</t>
  </si>
  <si>
    <t>Risk Type</t>
  </si>
  <si>
    <t>Description of Risk</t>
  </si>
  <si>
    <t>Primary Consequence(s)</t>
  </si>
  <si>
    <t>?</t>
  </si>
  <si>
    <t>Risk number</t>
  </si>
  <si>
    <t>Mitigation</t>
  </si>
  <si>
    <r>
      <rPr>
        <b/>
        <sz val="11"/>
        <color rgb="FFFF0000"/>
        <rFont val="Calibri"/>
        <family val="2"/>
        <scheme val="minor"/>
      </rPr>
      <t>____</t>
    </r>
    <r>
      <rPr>
        <b/>
        <u/>
        <sz val="11"/>
        <color rgb="FFFF0000"/>
        <rFont val="Calibri"/>
        <family val="2"/>
        <scheme val="minor"/>
      </rPr>
      <t>?</t>
    </r>
    <r>
      <rPr>
        <b/>
        <sz val="11"/>
        <color rgb="FFFF0000"/>
        <rFont val="Calibri"/>
        <family val="2"/>
        <scheme val="minor"/>
      </rPr>
      <t>___</t>
    </r>
    <r>
      <rPr>
        <b/>
        <sz val="11"/>
        <color theme="1"/>
        <rFont val="Calibri"/>
        <family val="2"/>
        <scheme val="minor"/>
      </rPr>
      <t xml:space="preserve"> risk</t>
    </r>
  </si>
  <si>
    <t>13/10/2021 MG</t>
  </si>
  <si>
    <t>Poor pit time</t>
  </si>
  <si>
    <t>Cannot remove wheel nut - jammed onto spigot/thread.</t>
  </si>
  <si>
    <t>Potential race looser.</t>
  </si>
  <si>
    <t xml:space="preserve">Carry out test programme and team practices to 1) Prove nut design 2) Reduce risk of cross-threading nut. </t>
  </si>
  <si>
    <t xml:space="preserve">Nut does not jam, but Torque is more than the nut tool can provide. </t>
  </si>
  <si>
    <t>09/10/2021 AB</t>
  </si>
  <si>
    <t>Crew safety</t>
  </si>
  <si>
    <t>Wheel dropped onto foot of crew member.</t>
  </si>
  <si>
    <t>Damage to foot.</t>
  </si>
  <si>
    <t>All crew to have steel toe-capped boots. Minimum 200 Joule impact energy boot (EN ISO 20345:2011).</t>
  </si>
  <si>
    <t xml:space="preserve">Impact to part of lower leg not protected by safety shoe. </t>
  </si>
  <si>
    <t>22/09/2021 TAC</t>
  </si>
  <si>
    <t>Crew member run over by Car at speed &gt; 30 mph</t>
  </si>
  <si>
    <t>Broken Bones, up to Fatality.</t>
  </si>
  <si>
    <t xml:space="preserve">Update method statement 6.2 to "Crew cannot step into lane until car is at full stop." </t>
  </si>
  <si>
    <t>Pit stop time loss due to crew movement after car has halted.</t>
  </si>
  <si>
    <t>Crew can still be run over even if outside lane zone (although risk is less than in working  zone).</t>
  </si>
  <si>
    <t>22/09/2021 DEX</t>
  </si>
  <si>
    <t xml:space="preserve">Tyre is hot (&gt;60º). Could be the incoming tyre to be removed or that the new tyre is hot from the pre-heating jacket. </t>
  </si>
  <si>
    <t xml:space="preserve">Burn to crew. </t>
  </si>
  <si>
    <t xml:space="preserve">None/Negligible.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</si>
</sst>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quotePrefix="1" applyFill="1"/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F7AF-40AF-4549-903A-D00853ECFF20}">
  <dimension ref="A1:J8"/>
  <sheetViews>
    <sheetView zoomScale="130" zoomScaleNormal="130" workbookViewId="0">
      <selection activeCell="I6" sqref="I6"/>
    </sheetView>
  </sheetViews>
  <sheetFormatPr defaultColWidth="0" defaultRowHeight="15" zeroHeight="1" x14ac:dyDescent="0.25"/>
  <cols>
    <col min="1" max="1" width="10.5703125" customWidth="1"/>
    <col min="2" max="2" width="24" customWidth="1"/>
    <col min="3" max="3" width="2.42578125" customWidth="1"/>
    <col min="4" max="4" width="14.28515625" bestFit="1" customWidth="1"/>
    <col min="5" max="5" width="12.7109375" customWidth="1"/>
    <col min="6" max="6" width="21.7109375" customWidth="1"/>
    <col min="7" max="7" width="2.140625" customWidth="1"/>
    <col min="8" max="8" width="9.140625" customWidth="1"/>
    <col min="9" max="9" width="12.7109375" customWidth="1"/>
    <col min="10" max="10" width="21" customWidth="1"/>
    <col min="11" max="16384" width="9.140625" hidden="1"/>
  </cols>
  <sheetData>
    <row r="1" spans="1:10" ht="33.75" customHeight="1" x14ac:dyDescent="0.25">
      <c r="A1" s="37" t="s">
        <v>0</v>
      </c>
      <c r="B1" s="37"/>
      <c r="C1" s="8"/>
      <c r="D1" s="36" t="s">
        <v>1</v>
      </c>
      <c r="E1" s="36"/>
      <c r="F1" s="36"/>
      <c r="G1" s="36"/>
      <c r="H1" s="36"/>
      <c r="I1" s="36"/>
      <c r="J1" s="36"/>
    </row>
    <row r="2" spans="1:10" ht="33.75" customHeight="1" x14ac:dyDescent="0.25">
      <c r="A2" s="37"/>
      <c r="B2" s="37"/>
      <c r="C2" s="8"/>
      <c r="D2" s="38" t="s">
        <v>2</v>
      </c>
      <c r="E2" s="38"/>
      <c r="F2" s="38"/>
      <c r="G2" s="19"/>
      <c r="H2" s="39" t="s">
        <v>3</v>
      </c>
      <c r="I2" s="39"/>
      <c r="J2" s="39"/>
    </row>
    <row r="3" spans="1:10" ht="30" x14ac:dyDescent="0.25">
      <c r="A3" s="18" t="s">
        <v>4</v>
      </c>
      <c r="B3" s="17" t="s">
        <v>5</v>
      </c>
      <c r="C3" s="9"/>
      <c r="D3" s="17" t="s">
        <v>4</v>
      </c>
      <c r="E3" s="17" t="s">
        <v>6</v>
      </c>
      <c r="F3" s="17" t="s">
        <v>7</v>
      </c>
      <c r="G3" s="20"/>
      <c r="H3" s="17" t="s">
        <v>4</v>
      </c>
      <c r="I3" s="17" t="s">
        <v>6</v>
      </c>
      <c r="J3" s="17" t="s">
        <v>7</v>
      </c>
    </row>
    <row r="4" spans="1:10" x14ac:dyDescent="0.25">
      <c r="A4" s="3">
        <v>1</v>
      </c>
      <c r="B4" s="3" t="s">
        <v>8</v>
      </c>
      <c r="C4" s="8"/>
      <c r="D4" s="7">
        <v>1</v>
      </c>
      <c r="E4" s="7" t="s">
        <v>9</v>
      </c>
      <c r="F4" s="4" t="s">
        <v>10</v>
      </c>
      <c r="G4" s="21"/>
      <c r="H4" s="7">
        <v>1</v>
      </c>
      <c r="I4" s="7" t="s">
        <v>9</v>
      </c>
      <c r="J4" s="7" t="s">
        <v>11</v>
      </c>
    </row>
    <row r="5" spans="1:10" ht="30" x14ac:dyDescent="0.25">
      <c r="A5" s="3">
        <v>2</v>
      </c>
      <c r="B5" s="3" t="s">
        <v>12</v>
      </c>
      <c r="C5" s="8"/>
      <c r="D5" s="7">
        <v>2</v>
      </c>
      <c r="E5" s="7" t="s">
        <v>13</v>
      </c>
      <c r="F5" s="4" t="s">
        <v>14</v>
      </c>
      <c r="G5" s="21"/>
      <c r="H5" s="7">
        <v>2</v>
      </c>
      <c r="I5" s="7" t="s">
        <v>13</v>
      </c>
      <c r="J5" s="7" t="s">
        <v>15</v>
      </c>
    </row>
    <row r="6" spans="1:10" ht="45" x14ac:dyDescent="0.25">
      <c r="A6" s="3">
        <v>3</v>
      </c>
      <c r="B6" s="5" t="s">
        <v>16</v>
      </c>
      <c r="C6" s="8"/>
      <c r="D6" s="7">
        <v>3</v>
      </c>
      <c r="E6" s="7" t="s">
        <v>17</v>
      </c>
      <c r="F6" s="4" t="s">
        <v>18</v>
      </c>
      <c r="G6" s="21"/>
      <c r="H6" s="7">
        <v>3</v>
      </c>
      <c r="I6" s="7" t="s">
        <v>17</v>
      </c>
      <c r="J6" s="7" t="s">
        <v>19</v>
      </c>
    </row>
    <row r="7" spans="1:10" ht="60" x14ac:dyDescent="0.25">
      <c r="A7" s="3">
        <v>4</v>
      </c>
      <c r="B7" s="6" t="s">
        <v>20</v>
      </c>
      <c r="C7" s="8"/>
      <c r="D7" s="7">
        <v>4</v>
      </c>
      <c r="E7" s="7" t="s">
        <v>21</v>
      </c>
      <c r="F7" s="4" t="s">
        <v>22</v>
      </c>
      <c r="G7" s="21"/>
      <c r="H7" s="22">
        <v>4</v>
      </c>
      <c r="I7" s="40" t="s">
        <v>23</v>
      </c>
      <c r="J7" s="41"/>
    </row>
    <row r="8" spans="1:10" x14ac:dyDescent="0.25">
      <c r="A8" s="3">
        <v>5</v>
      </c>
      <c r="B8" s="6" t="s">
        <v>24</v>
      </c>
      <c r="C8" s="8"/>
      <c r="D8" s="7">
        <v>5</v>
      </c>
      <c r="E8" s="7" t="s">
        <v>25</v>
      </c>
      <c r="F8" s="4" t="s">
        <v>26</v>
      </c>
      <c r="G8" s="21"/>
      <c r="H8" s="22">
        <v>5</v>
      </c>
      <c r="I8" s="42"/>
      <c r="J8" s="43"/>
    </row>
  </sheetData>
  <sheetProtection selectLockedCells="1" selectUnlockedCells="1"/>
  <mergeCells count="5">
    <mergeCell ref="D1:J1"/>
    <mergeCell ref="A1:B2"/>
    <mergeCell ref="D2:F2"/>
    <mergeCell ref="H2:J2"/>
    <mergeCell ref="I7:J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FB8F-C830-4DC0-B95B-B45EA34FA4D1}">
  <dimension ref="B1:R14"/>
  <sheetViews>
    <sheetView tabSelected="1" topLeftCell="B3" zoomScaleNormal="100" workbookViewId="0">
      <selection activeCell="B8" sqref="B8"/>
    </sheetView>
  </sheetViews>
  <sheetFormatPr defaultColWidth="0" defaultRowHeight="15" zeroHeight="1" x14ac:dyDescent="0.25"/>
  <cols>
    <col min="1" max="1" width="9.140625" hidden="1" customWidth="1"/>
    <col min="2" max="2" width="16.42578125" customWidth="1"/>
    <col min="3" max="3" width="14.28515625" customWidth="1"/>
    <col min="4" max="4" width="33.28515625" customWidth="1"/>
    <col min="5" max="5" width="16.140625" customWidth="1"/>
    <col min="6" max="6" width="3" customWidth="1"/>
    <col min="7" max="7" width="3.85546875" bestFit="1" customWidth="1"/>
    <col min="8" max="8" width="6.7109375" bestFit="1" customWidth="1"/>
    <col min="9" max="9" width="35.42578125" customWidth="1"/>
    <col min="10" max="10" width="20.7109375" customWidth="1"/>
    <col min="11" max="18" width="0" hidden="1" customWidth="1"/>
    <col min="19" max="16384" width="9.140625" hidden="1"/>
  </cols>
  <sheetData>
    <row r="1" spans="2:18" x14ac:dyDescent="0.25">
      <c r="B1" s="50" t="s">
        <v>27</v>
      </c>
      <c r="C1" s="51"/>
      <c r="D1" s="57" t="s">
        <v>28</v>
      </c>
      <c r="E1" s="57"/>
      <c r="F1" s="57"/>
      <c r="G1" s="57"/>
      <c r="H1" s="57"/>
      <c r="I1" s="57"/>
      <c r="J1" s="58"/>
    </row>
    <row r="2" spans="2:18" x14ac:dyDescent="0.25">
      <c r="B2" s="52" t="s">
        <v>29</v>
      </c>
      <c r="C2" s="53"/>
      <c r="D2" s="55" t="s">
        <v>30</v>
      </c>
      <c r="E2" s="55"/>
      <c r="F2" s="55"/>
      <c r="G2" s="55"/>
      <c r="H2" s="55"/>
      <c r="I2" s="55"/>
      <c r="J2" s="56"/>
    </row>
    <row r="3" spans="2:18" ht="30" customHeight="1" x14ac:dyDescent="0.25">
      <c r="B3" s="52" t="s">
        <v>31</v>
      </c>
      <c r="C3" s="53"/>
      <c r="D3" s="53" t="s">
        <v>32</v>
      </c>
      <c r="E3" s="53"/>
      <c r="F3" s="53"/>
      <c r="G3" s="53"/>
      <c r="H3" s="53"/>
      <c r="I3" s="53"/>
      <c r="J3" s="54"/>
    </row>
    <row r="4" spans="2:18" ht="19.5" customHeight="1" x14ac:dyDescent="0.25">
      <c r="B4" s="52" t="s">
        <v>33</v>
      </c>
      <c r="C4" s="53"/>
      <c r="D4" s="59" t="s">
        <v>34</v>
      </c>
      <c r="E4" s="59"/>
      <c r="F4" s="59"/>
      <c r="G4" s="59"/>
      <c r="H4" s="59"/>
      <c r="I4" s="59"/>
      <c r="J4" s="60"/>
    </row>
    <row r="5" spans="2:18" ht="15.75" thickBot="1" x14ac:dyDescent="0.3">
      <c r="B5" s="61" t="s">
        <v>35</v>
      </c>
      <c r="C5" s="62"/>
      <c r="D5" s="63" t="s">
        <v>36</v>
      </c>
      <c r="E5" s="63"/>
      <c r="F5" s="63"/>
      <c r="G5" s="63"/>
      <c r="H5" s="63"/>
      <c r="I5" s="63"/>
      <c r="J5" s="64"/>
    </row>
    <row r="6" spans="2:18" s="26" customFormat="1" ht="12.75" customHeight="1" thickBot="1" x14ac:dyDescent="0.3">
      <c r="B6" s="27"/>
      <c r="C6" s="27"/>
      <c r="E6" s="28"/>
    </row>
    <row r="7" spans="2:18" ht="77.25" customHeight="1" x14ac:dyDescent="0.25">
      <c r="B7" s="31" t="s">
        <v>37</v>
      </c>
      <c r="C7" s="32" t="s">
        <v>38</v>
      </c>
      <c r="D7" s="32" t="s">
        <v>39</v>
      </c>
      <c r="E7" s="32" t="s">
        <v>40</v>
      </c>
      <c r="F7" s="30" t="s">
        <v>41</v>
      </c>
      <c r="G7" s="33" t="s">
        <v>1</v>
      </c>
      <c r="H7" s="33" t="s">
        <v>42</v>
      </c>
      <c r="I7" s="32" t="s">
        <v>43</v>
      </c>
      <c r="J7" s="34" t="s">
        <v>44</v>
      </c>
      <c r="K7" s="1"/>
      <c r="L7" s="1"/>
      <c r="M7" s="1"/>
      <c r="N7" s="1"/>
      <c r="O7" s="1"/>
      <c r="P7" s="1"/>
      <c r="Q7" s="1"/>
      <c r="R7" s="1"/>
    </row>
    <row r="8" spans="2:18" ht="60" x14ac:dyDescent="0.25">
      <c r="B8" s="23" t="s">
        <v>45</v>
      </c>
      <c r="C8" s="24" t="s">
        <v>46</v>
      </c>
      <c r="D8" s="24" t="s">
        <v>47</v>
      </c>
      <c r="E8" s="24" t="s">
        <v>48</v>
      </c>
      <c r="F8" s="4">
        <v>2</v>
      </c>
      <c r="G8" s="4">
        <v>3</v>
      </c>
      <c r="H8" s="4">
        <f>F8*G8</f>
        <v>6</v>
      </c>
      <c r="I8" s="24" t="s">
        <v>49</v>
      </c>
      <c r="J8" s="25" t="s">
        <v>50</v>
      </c>
    </row>
    <row r="9" spans="2:18" ht="60" x14ac:dyDescent="0.25">
      <c r="B9" s="23" t="s">
        <v>51</v>
      </c>
      <c r="C9" s="24" t="s">
        <v>52</v>
      </c>
      <c r="D9" s="24" t="s">
        <v>53</v>
      </c>
      <c r="E9" s="24" t="s">
        <v>54</v>
      </c>
      <c r="F9" s="4">
        <v>3</v>
      </c>
      <c r="G9" s="29" t="s">
        <v>41</v>
      </c>
      <c r="H9" s="4">
        <v>9</v>
      </c>
      <c r="I9" s="24" t="s">
        <v>55</v>
      </c>
      <c r="J9" s="25" t="s">
        <v>56</v>
      </c>
    </row>
    <row r="10" spans="2:18" ht="45" x14ac:dyDescent="0.25">
      <c r="B10" s="48" t="s">
        <v>57</v>
      </c>
      <c r="C10" s="44" t="s">
        <v>52</v>
      </c>
      <c r="D10" s="44" t="s">
        <v>58</v>
      </c>
      <c r="E10" s="44" t="s">
        <v>59</v>
      </c>
      <c r="F10" s="46">
        <v>1</v>
      </c>
      <c r="G10" s="46">
        <v>5</v>
      </c>
      <c r="H10" s="46">
        <f>F10*G10</f>
        <v>5</v>
      </c>
      <c r="I10" s="44" t="s">
        <v>60</v>
      </c>
      <c r="J10" s="25" t="s">
        <v>61</v>
      </c>
    </row>
    <row r="11" spans="2:18" ht="75" x14ac:dyDescent="0.25">
      <c r="B11" s="49"/>
      <c r="C11" s="45"/>
      <c r="D11" s="45"/>
      <c r="E11" s="45"/>
      <c r="F11" s="47"/>
      <c r="G11" s="47"/>
      <c r="H11" s="47"/>
      <c r="I11" s="45"/>
      <c r="J11" s="25" t="s">
        <v>62</v>
      </c>
    </row>
    <row r="12" spans="2:18" ht="60" x14ac:dyDescent="0.25">
      <c r="B12" s="11" t="s">
        <v>63</v>
      </c>
      <c r="C12" s="24" t="s">
        <v>52</v>
      </c>
      <c r="D12" s="10" t="s">
        <v>64</v>
      </c>
      <c r="E12" s="10" t="s">
        <v>65</v>
      </c>
      <c r="F12" s="4">
        <v>5</v>
      </c>
      <c r="G12" s="4">
        <v>3</v>
      </c>
      <c r="H12" s="4">
        <f>F12*G12</f>
        <v>15</v>
      </c>
      <c r="I12" s="29" t="s">
        <v>41</v>
      </c>
      <c r="J12" s="35" t="s">
        <v>66</v>
      </c>
    </row>
    <row r="13" spans="2:18" x14ac:dyDescent="0.25">
      <c r="B13" s="12"/>
      <c r="C13" s="2"/>
      <c r="D13" s="2"/>
      <c r="E13" s="2"/>
      <c r="F13" s="2"/>
      <c r="G13" s="2"/>
      <c r="H13" s="2"/>
      <c r="I13" s="2"/>
      <c r="J13" s="13"/>
    </row>
    <row r="14" spans="2:18" ht="15.75" thickBot="1" x14ac:dyDescent="0.3">
      <c r="B14" s="14"/>
      <c r="C14" s="15"/>
      <c r="D14" s="15"/>
      <c r="E14" s="15"/>
      <c r="F14" s="15"/>
      <c r="G14" s="15"/>
      <c r="H14" s="15"/>
      <c r="I14" s="15"/>
      <c r="J14" s="16"/>
    </row>
  </sheetData>
  <sheetProtection sheet="1" selectLockedCells="1" selectUnlockedCells="1"/>
  <mergeCells count="18">
    <mergeCell ref="D3:J3"/>
    <mergeCell ref="D2:J2"/>
    <mergeCell ref="D1:J1"/>
    <mergeCell ref="D4:J4"/>
    <mergeCell ref="B5:C5"/>
    <mergeCell ref="D5:J5"/>
    <mergeCell ref="C10:C11"/>
    <mergeCell ref="B10:B11"/>
    <mergeCell ref="B1:C1"/>
    <mergeCell ref="B2:C2"/>
    <mergeCell ref="B3:C3"/>
    <mergeCell ref="B4:C4"/>
    <mergeCell ref="D10:D11"/>
    <mergeCell ref="I10:I11"/>
    <mergeCell ref="H10:H11"/>
    <mergeCell ref="G10:G11"/>
    <mergeCell ref="F10:F11"/>
    <mergeCell ref="E10:E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284467DF38F345A2338EAEEE810A35" ma:contentTypeVersion="11" ma:contentTypeDescription="Create a new document." ma:contentTypeScope="" ma:versionID="c150b7be3a9c040fc441bd53e0aea146">
  <xsd:schema xmlns:xsd="http://www.w3.org/2001/XMLSchema" xmlns:xs="http://www.w3.org/2001/XMLSchema" xmlns:p="http://schemas.microsoft.com/office/2006/metadata/properties" xmlns:ns2="111ef56a-03f6-4d1a-a3bd-c075b28a704f" xmlns:ns3="e095251c-bf6e-43ab-a10a-a01e3fc98173" targetNamespace="http://schemas.microsoft.com/office/2006/metadata/properties" ma:root="true" ma:fieldsID="21e1a9e4476239581d1c4b6662b39a14" ns2:_="" ns3:_="">
    <xsd:import namespace="111ef56a-03f6-4d1a-a3bd-c075b28a704f"/>
    <xsd:import namespace="e095251c-bf6e-43ab-a10a-a01e3fc98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ef56a-03f6-4d1a-a3bd-c075b28a70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5251c-bf6e-43ab-a10a-a01e3fc981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a8204e-55df-4bd5-b268-123076d7cd29}" ma:internalName="TaxCatchAll" ma:showField="CatchAllData" ma:web="e095251c-bf6e-43ab-a10a-a01e3fc98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11ef56a-03f6-4d1a-a3bd-c075b28a704f" xsi:nil="true"/>
    <TaxCatchAll xmlns="e095251c-bf6e-43ab-a10a-a01e3fc98173" xsi:nil="true"/>
    <lcf76f155ced4ddcb4097134ff3c332f xmlns="111ef56a-03f6-4d1a-a3bd-c075b28a70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4BFFDE-3A42-4773-AB11-5C4922301E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2601E-F3D1-450A-8900-BE0BEA4C61D1}"/>
</file>

<file path=customXml/itemProps3.xml><?xml version="1.0" encoding="utf-8"?>
<ds:datastoreItem xmlns:ds="http://schemas.openxmlformats.org/officeDocument/2006/customXml" ds:itemID="{2DF35EBA-CAFF-4FF8-9550-ABA9D7CE8EC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f0076361-1799-45e6-8dde-e1a7baa0d57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a4c1ccd-a855-4f09-9e9e-76d4268a896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(Scoring criteria)</vt:lpstr>
      <vt:lpstr>Sheet 2 (Risk assessment)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Graham</dc:creator>
  <cp:keywords/>
  <dc:description/>
  <cp:lastModifiedBy>Mark Graham</cp:lastModifiedBy>
  <cp:revision/>
  <dcterms:created xsi:type="dcterms:W3CDTF">2021-10-12T15:50:23Z</dcterms:created>
  <dcterms:modified xsi:type="dcterms:W3CDTF">2023-11-02T16:23:09Z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0x01010015284467DF38F345A2338EAEEE810A35</vt:lpwstr>
  </property>
  <property fmtid="{D5CDD505-2E9C-101B-9397-08002B2CF9AE}" pid="3" name="MediaServiceImageTags">
    <vt:lpwstr/>
  </property>
  <property fmtid="{D5CDD505-2E9C-101B-9397-08002B2CF9AE}" pid="4" name="Order">
    <vt:r8>11800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