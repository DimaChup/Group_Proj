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wr18962_bristol_ac_uk/Documents/Files/Units/CADE20005 AVDASI2/01_Unit_function_&amp;_teaching/02 Teaching material/01 Teaching by weeks/Week-05 (3) PP Workshop PM2 Tuckman/"/>
    </mc:Choice>
  </mc:AlternateContent>
  <xr:revisionPtr revIDLastSave="405" documentId="8_{37C53AA1-5751-47B2-9880-1C8064AFC22D}" xr6:coauthVersionLast="47" xr6:coauthVersionMax="47" xr10:uidLastSave="{F1621B3B-2F7B-44D0-BA8E-3035493F4C72}"/>
  <bookViews>
    <workbookView xWindow="28680" yWindow="-120" windowWidth="29040" windowHeight="16440" xr2:uid="{00000000-000D-0000-FFFF-FFFF00000000}"/>
  </bookViews>
  <sheets>
    <sheet name="Resource scheduling" sheetId="2" r:id="rId1"/>
    <sheet name="Tasks and Durations" sheetId="4" r:id="rId2"/>
  </sheets>
  <definedNames>
    <definedName name="tasks">'Tasks and Durations'!$A$5:$A$15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E18" i="2" l="1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D18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D17" i="2"/>
  <c r="D16" i="2"/>
  <c r="E2" i="2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</calcChain>
</file>

<file path=xl/sharedStrings.xml><?xml version="1.0" encoding="utf-8"?>
<sst xmlns="http://schemas.openxmlformats.org/spreadsheetml/2006/main" count="36" uniqueCount="34">
  <si>
    <r>
      <t xml:space="preserve">Pick </t>
    </r>
    <r>
      <rPr>
        <b/>
        <i/>
        <sz val="11"/>
        <rFont val="Calibri"/>
        <family val="2"/>
        <scheme val="minor"/>
      </rPr>
      <t xml:space="preserve">d, ma, me, dev </t>
    </r>
    <r>
      <rPr>
        <sz val="11"/>
        <rFont val="Calibri"/>
        <family val="2"/>
        <scheme val="minor"/>
      </rPr>
      <t>from the drop-downs to select the activity type</t>
    </r>
  </si>
  <si>
    <t>Task (pick from the drop-down)</t>
  </si>
  <si>
    <t>Duration (days)</t>
  </si>
  <si>
    <t>A</t>
  </si>
  <si>
    <t>Assemble all new Parts</t>
  </si>
  <si>
    <t>dev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</si>
  <si>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</si>
  <si>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</si>
  <si>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</si>
  <si>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</si>
  <si>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</si>
  <si>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</si>
  <si>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</si>
  <si>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</si>
  <si>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</si>
  <si>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</si>
  <si>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Resource tracker</t>
  </si>
  <si>
    <t>Designers (d)     [Designers design]</t>
  </si>
  <si>
    <t>Metrologists (me)  [Metrologists measure]</t>
  </si>
  <si>
    <t>Development engineers (dev) [Assemble and test]</t>
  </si>
  <si>
    <t>Manufacturing takes time but doesn't require resouces as it is subcontract.</t>
  </si>
  <si>
    <t>This sheet works as a look up table only.</t>
  </si>
  <si>
    <t>There's no need to edit anything here!</t>
  </si>
  <si>
    <t>Task</t>
  </si>
  <si>
    <t>Manufacture new 'Upper Torque Link'</t>
  </si>
  <si>
    <t>Measure new 'Lower Torque Link'</t>
  </si>
  <si>
    <t>Complete proof test of final assembly</t>
  </si>
  <si>
    <t>Measure new 'Steering sleeve'</t>
  </si>
  <si>
    <t>Design new 'Steering sleeve'</t>
  </si>
  <si>
    <t>Measure new 'Upper Torque Link' parts</t>
  </si>
  <si>
    <t>Manufacture new 'Lower Torque Link'</t>
  </si>
  <si>
    <t>Design new 'Lower Torque Link'</t>
  </si>
  <si>
    <t>Design new 'Upper Torque Link'</t>
  </si>
  <si>
    <t>Manufacture new 'Steering sleeve'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</si>
</sst>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Protection="1">
      <protection locked="0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1" fillId="0" borderId="0" xfId="0" applyFont="1"/>
    <xf numFmtId="0" fontId="0" fillId="0" borderId="1" xfId="0" applyBorder="1" applyAlignment="1">
      <alignment horizont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0" fillId="0" borderId="1" xfId="0" applyBorder="1" applyProtection="1"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7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4" xfId="0" applyFont="1" applyBorder="1" applyProtection="1">
      <protection locked="0"/>
    </xf>
    <xf numFmtId="0" fontId="0" fillId="5" borderId="1" xfId="0" applyFill="1" applyBorder="1" applyAlignment="1">
      <alignment wrapText="1"/>
    </xf>
    <xf numFmtId="0" fontId="5" fillId="0" borderId="3" xfId="0" applyFont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31A0-F127-4894-8B72-F72DA8AD33B6}">
  <dimension ref="A1:AB34"/>
  <sheetViews>
    <sheetView tabSelected="1" zoomScale="160" zoomScaleNormal="160" workbookViewId="0">
      <selection activeCell="D3" sqref="D3"/>
    </sheetView>
  </sheetViews>
  <sheetFormatPr defaultColWidth="9.140625" defaultRowHeight="15"/>
  <cols>
    <col min="1" max="1" width="2.5703125" bestFit="1" customWidth="1"/>
    <col min="2" max="2" width="33.5703125" customWidth="1"/>
    <col min="3" max="3" width="9.85546875" customWidth="1"/>
    <col min="4" max="28" width="3" customWidth="1"/>
  </cols>
  <sheetData>
    <row r="1" spans="1:28">
      <c r="D1" s="27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ht="30">
      <c r="B2" t="s">
        <v>1</v>
      </c>
      <c r="C2" s="13" t="s">
        <v>2</v>
      </c>
      <c r="D2" s="3">
        <v>1</v>
      </c>
      <c r="E2" s="3">
        <f>D2+1</f>
        <v>2</v>
      </c>
      <c r="F2" s="3">
        <f t="shared" ref="F2:R2" si="0">E2+1</f>
        <v>3</v>
      </c>
      <c r="G2" s="3">
        <f t="shared" si="0"/>
        <v>4</v>
      </c>
      <c r="H2" s="3">
        <f t="shared" si="0"/>
        <v>5</v>
      </c>
      <c r="I2" s="3">
        <f t="shared" si="0"/>
        <v>6</v>
      </c>
      <c r="J2" s="3">
        <f t="shared" si="0"/>
        <v>7</v>
      </c>
      <c r="K2" s="3">
        <f t="shared" si="0"/>
        <v>8</v>
      </c>
      <c r="L2" s="3">
        <f t="shared" si="0"/>
        <v>9</v>
      </c>
      <c r="M2" s="3">
        <f t="shared" si="0"/>
        <v>10</v>
      </c>
      <c r="N2" s="3">
        <f t="shared" si="0"/>
        <v>11</v>
      </c>
      <c r="O2" s="3">
        <f t="shared" si="0"/>
        <v>12</v>
      </c>
      <c r="P2" s="3">
        <f t="shared" si="0"/>
        <v>13</v>
      </c>
      <c r="Q2" s="3">
        <f t="shared" si="0"/>
        <v>14</v>
      </c>
      <c r="R2" s="3">
        <f t="shared" si="0"/>
        <v>15</v>
      </c>
      <c r="S2" s="3">
        <f t="shared" ref="S2" si="1">R2+1</f>
        <v>16</v>
      </c>
      <c r="T2" s="3">
        <f t="shared" ref="T2" si="2">S2+1</f>
        <v>17</v>
      </c>
      <c r="U2" s="3">
        <f t="shared" ref="U2" si="3">T2+1</f>
        <v>18</v>
      </c>
      <c r="V2" s="3">
        <f t="shared" ref="V2" si="4">U2+1</f>
        <v>19</v>
      </c>
      <c r="W2" s="3">
        <f t="shared" ref="W2" si="5">V2+1</f>
        <v>20</v>
      </c>
      <c r="X2" s="4">
        <f t="shared" ref="X2" si="6">W2+1</f>
        <v>21</v>
      </c>
      <c r="Y2" s="4">
        <f t="shared" ref="Y2" si="7">X2+1</f>
        <v>22</v>
      </c>
      <c r="Z2" s="4">
        <f t="shared" ref="Z2" si="8">Y2+1</f>
        <v>23</v>
      </c>
      <c r="AA2" s="4">
        <f t="shared" ref="AA2" si="9">Z2+1</f>
        <v>24</v>
      </c>
      <c r="AB2" s="3">
        <f t="shared" ref="AB2" si="10">AA2+1</f>
        <v>25</v>
      </c>
    </row>
    <row r="3" spans="1:28">
      <c r="A3" s="5" t="s">
        <v>3</v>
      </c>
      <c r="B3" s="17" t="s">
        <v>4</v>
      </c>
      <c r="C3" s="2">
        <f>INDEX('Tasks and Durations'!$B$5:$B$15,MATCH('Resource scheduling'!$B3,tasks,0))</f>
        <v>1</v>
      </c>
      <c r="D3" s="18" t="s">
        <v>5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20"/>
    </row>
    <row r="4" spans="1:28">
      <c r="A4" s="5" t="s">
        <v>6</v>
      </c>
      <c r="B4" s="17"/>
      <c r="C4" s="2" t="e">
        <f>INDEX('Tasks and Durations'!$B$5:$B$15,MATCH('Resource scheduling'!$B4,tasks,0))</f>
        <v>#N/A</v>
      </c>
      <c r="D4" s="2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2"/>
    </row>
    <row r="5" spans="1:28">
      <c r="A5" s="5" t="s">
        <v>7</v>
      </c>
      <c r="B5" s="17"/>
      <c r="C5" s="2" t="e">
        <f>INDEX('Tasks and Durations'!$B$5:$B$15,MATCH('Resource scheduling'!$B5,tasks,0))</f>
        <v>#N/A</v>
      </c>
      <c r="D5" s="2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2"/>
    </row>
    <row r="6" spans="1:28">
      <c r="A6" s="5" t="s">
        <v>8</v>
      </c>
      <c r="B6" s="17"/>
      <c r="C6" s="2" t="e">
        <f>INDEX('Tasks and Durations'!$B$5:$B$15,MATCH('Resource scheduling'!$B6,tasks,0))</f>
        <v>#N/A</v>
      </c>
      <c r="D6" s="2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2"/>
    </row>
    <row r="7" spans="1:28">
      <c r="A7" s="5" t="s">
        <v>9</v>
      </c>
      <c r="B7" s="17"/>
      <c r="C7" s="2" t="e">
        <f>INDEX('Tasks and Durations'!$B$5:$B$15,MATCH('Resource scheduling'!$B7,tasks,0))</f>
        <v>#N/A</v>
      </c>
      <c r="D7" s="2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2"/>
    </row>
    <row r="8" spans="1:28">
      <c r="A8" s="5" t="s">
        <v>10</v>
      </c>
      <c r="B8" s="17"/>
      <c r="C8" s="2" t="e">
        <f>INDEX('Tasks and Durations'!$B$5:$B$15,MATCH('Resource scheduling'!$B8,tasks,0))</f>
        <v>#N/A</v>
      </c>
      <c r="D8" s="2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22"/>
    </row>
    <row r="9" spans="1:28">
      <c r="A9" s="5" t="s">
        <v>11</v>
      </c>
      <c r="B9" s="17"/>
      <c r="C9" s="2" t="e">
        <f>INDEX('Tasks and Durations'!$B$5:$B$15,MATCH('Resource scheduling'!$B9,tasks,0))</f>
        <v>#N/A</v>
      </c>
      <c r="D9" s="2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2"/>
    </row>
    <row r="10" spans="1:28">
      <c r="A10" s="5" t="s">
        <v>12</v>
      </c>
      <c r="B10" s="17"/>
      <c r="C10" s="2" t="e">
        <f>INDEX('Tasks and Durations'!$B$5:$B$15,MATCH('Resource scheduling'!$B10,tasks,0))</f>
        <v>#N/A</v>
      </c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22"/>
    </row>
    <row r="11" spans="1:28">
      <c r="A11" s="5" t="s">
        <v>13</v>
      </c>
      <c r="B11" s="17"/>
      <c r="C11" s="2" t="e">
        <f>INDEX('Tasks and Durations'!$B$5:$B$15,MATCH('Resource scheduling'!$B11,tasks,0))</f>
        <v>#N/A</v>
      </c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2"/>
    </row>
    <row r="12" spans="1:28">
      <c r="A12" s="5" t="s">
        <v>14</v>
      </c>
      <c r="B12" s="17"/>
      <c r="C12" s="2" t="e">
        <f>INDEX('Tasks and Durations'!$B$5:$B$15,MATCH('Resource scheduling'!$B12,tasks,0))</f>
        <v>#N/A</v>
      </c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2"/>
    </row>
    <row r="13" spans="1:28">
      <c r="A13" s="5" t="s">
        <v>15</v>
      </c>
      <c r="B13" s="17"/>
      <c r="C13" s="2" t="e">
        <f>INDEX('Tasks and Durations'!$B$5:$B$15,MATCH('Resource scheduling'!$B13,tasks,0))</f>
        <v>#N/A</v>
      </c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5"/>
    </row>
    <row r="14" spans="1:28">
      <c r="A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>
      <c r="B15" s="8" t="s">
        <v>16</v>
      </c>
    </row>
    <row r="16" spans="1:28">
      <c r="B16" s="9" t="s">
        <v>17</v>
      </c>
      <c r="D16" s="2">
        <f t="shared" ref="D16:N16" si="11">COUNTIF(D$3:D$13,"d")</f>
        <v>0</v>
      </c>
      <c r="E16" s="2">
        <f t="shared" si="11"/>
        <v>0</v>
      </c>
      <c r="F16" s="2">
        <f t="shared" si="11"/>
        <v>0</v>
      </c>
      <c r="G16" s="2">
        <f t="shared" si="11"/>
        <v>0</v>
      </c>
      <c r="H16" s="2">
        <f t="shared" si="11"/>
        <v>0</v>
      </c>
      <c r="I16" s="2">
        <f t="shared" si="11"/>
        <v>0</v>
      </c>
      <c r="J16" s="2">
        <f>COUNTIF(J$3:J$13,"d")</f>
        <v>0</v>
      </c>
      <c r="K16" s="2">
        <f t="shared" si="11"/>
        <v>0</v>
      </c>
      <c r="L16" s="2">
        <f t="shared" si="11"/>
        <v>0</v>
      </c>
      <c r="M16" s="2">
        <f t="shared" si="11"/>
        <v>0</v>
      </c>
      <c r="N16" s="2">
        <f t="shared" si="11"/>
        <v>0</v>
      </c>
      <c r="O16" s="2">
        <f t="shared" ref="O16:V16" si="12">COUNTIF(O$3:O$13,"d")</f>
        <v>0</v>
      </c>
      <c r="P16" s="2">
        <f t="shared" si="12"/>
        <v>0</v>
      </c>
      <c r="Q16" s="2">
        <f>COUNTIF(Q$3:Q$13,"d")</f>
        <v>0</v>
      </c>
      <c r="R16" s="2">
        <f>COUNTIF(R$3:R$13,"d")</f>
        <v>0</v>
      </c>
      <c r="S16" s="2">
        <f>COUNTIF(S$3:S$13,"d")</f>
        <v>0</v>
      </c>
      <c r="T16" s="2">
        <f>COUNTIF(T$3:T$13,"d")</f>
        <v>0</v>
      </c>
      <c r="U16" s="2">
        <f>COUNTIF(U$3:U$13,"d")</f>
        <v>0</v>
      </c>
      <c r="V16" s="2">
        <f t="shared" si="12"/>
        <v>0</v>
      </c>
      <c r="W16" s="2">
        <f t="shared" ref="W16:AB16" si="13">COUNTIF(W$3:W$13,"d")</f>
        <v>0</v>
      </c>
      <c r="X16" s="2">
        <f t="shared" si="13"/>
        <v>0</v>
      </c>
      <c r="Y16" s="2">
        <f t="shared" si="13"/>
        <v>0</v>
      </c>
      <c r="Z16" s="2">
        <f t="shared" si="13"/>
        <v>0</v>
      </c>
      <c r="AA16" s="2">
        <f t="shared" si="13"/>
        <v>0</v>
      </c>
      <c r="AB16" s="2">
        <f t="shared" si="13"/>
        <v>0</v>
      </c>
    </row>
    <row r="17" spans="1:28">
      <c r="B17" s="10" t="s">
        <v>18</v>
      </c>
      <c r="D17" s="2">
        <f t="shared" ref="D17:AB17" si="14">COUNTIF(D$3:D$13,"me")</f>
        <v>0</v>
      </c>
      <c r="E17" s="2">
        <f t="shared" si="14"/>
        <v>0</v>
      </c>
      <c r="F17" s="2">
        <f t="shared" si="14"/>
        <v>0</v>
      </c>
      <c r="G17" s="2">
        <f t="shared" si="14"/>
        <v>0</v>
      </c>
      <c r="H17" s="2">
        <f t="shared" si="14"/>
        <v>0</v>
      </c>
      <c r="I17" s="2">
        <f t="shared" si="14"/>
        <v>0</v>
      </c>
      <c r="J17" s="2">
        <f>COUNTIF(J$3:J$13,"me")</f>
        <v>0</v>
      </c>
      <c r="K17" s="2">
        <f t="shared" si="14"/>
        <v>0</v>
      </c>
      <c r="L17" s="2">
        <f t="shared" si="14"/>
        <v>0</v>
      </c>
      <c r="M17" s="2">
        <f t="shared" si="14"/>
        <v>0</v>
      </c>
      <c r="N17" s="2">
        <f t="shared" si="14"/>
        <v>0</v>
      </c>
      <c r="O17" s="2">
        <f t="shared" si="14"/>
        <v>0</v>
      </c>
      <c r="P17" s="2">
        <f t="shared" si="14"/>
        <v>0</v>
      </c>
      <c r="Q17" s="2">
        <f t="shared" si="14"/>
        <v>0</v>
      </c>
      <c r="R17" s="2">
        <f t="shared" si="14"/>
        <v>0</v>
      </c>
      <c r="S17" s="2">
        <f t="shared" si="14"/>
        <v>0</v>
      </c>
      <c r="T17" s="2">
        <f t="shared" si="14"/>
        <v>0</v>
      </c>
      <c r="U17" s="2">
        <f t="shared" si="14"/>
        <v>0</v>
      </c>
      <c r="V17" s="2">
        <f t="shared" si="14"/>
        <v>0</v>
      </c>
      <c r="W17" s="2">
        <f t="shared" si="14"/>
        <v>0</v>
      </c>
      <c r="X17" s="2">
        <f t="shared" si="14"/>
        <v>0</v>
      </c>
      <c r="Y17" s="2">
        <f t="shared" si="14"/>
        <v>0</v>
      </c>
      <c r="Z17" s="2">
        <f t="shared" si="14"/>
        <v>0</v>
      </c>
      <c r="AA17" s="2">
        <f t="shared" si="14"/>
        <v>0</v>
      </c>
      <c r="AB17" s="2">
        <f t="shared" si="14"/>
        <v>0</v>
      </c>
    </row>
    <row r="18" spans="1:28">
      <c r="B18" s="11" t="s">
        <v>19</v>
      </c>
      <c r="D18" s="2">
        <f t="shared" ref="D18:AB18" si="15">COUNTIF(D$3:D$13,"dev")</f>
        <v>1</v>
      </c>
      <c r="E18" s="2">
        <f t="shared" si="15"/>
        <v>0</v>
      </c>
      <c r="F18" s="2">
        <f t="shared" si="15"/>
        <v>0</v>
      </c>
      <c r="G18" s="2">
        <f t="shared" si="15"/>
        <v>0</v>
      </c>
      <c r="H18" s="2">
        <f t="shared" si="15"/>
        <v>0</v>
      </c>
      <c r="I18" s="2">
        <f t="shared" si="15"/>
        <v>0</v>
      </c>
      <c r="J18" s="2">
        <f>COUNTIF(J$3:J$13,"dev")</f>
        <v>0</v>
      </c>
      <c r="K18" s="2">
        <f t="shared" si="15"/>
        <v>0</v>
      </c>
      <c r="L18" s="2">
        <f t="shared" si="15"/>
        <v>0</v>
      </c>
      <c r="M18" s="2">
        <f t="shared" si="15"/>
        <v>0</v>
      </c>
      <c r="N18" s="2">
        <f t="shared" si="15"/>
        <v>0</v>
      </c>
      <c r="O18" s="2">
        <f t="shared" si="15"/>
        <v>0</v>
      </c>
      <c r="P18" s="2">
        <f t="shared" si="15"/>
        <v>0</v>
      </c>
      <c r="Q18" s="2">
        <f t="shared" si="15"/>
        <v>0</v>
      </c>
      <c r="R18" s="2">
        <f t="shared" si="15"/>
        <v>0</v>
      </c>
      <c r="S18" s="2">
        <f t="shared" si="15"/>
        <v>0</v>
      </c>
      <c r="T18" s="2">
        <f t="shared" si="15"/>
        <v>0</v>
      </c>
      <c r="U18" s="2">
        <f t="shared" si="15"/>
        <v>0</v>
      </c>
      <c r="V18" s="2">
        <f t="shared" si="15"/>
        <v>0</v>
      </c>
      <c r="W18" s="2">
        <f t="shared" si="15"/>
        <v>0</v>
      </c>
      <c r="X18" s="2">
        <f t="shared" si="15"/>
        <v>0</v>
      </c>
      <c r="Y18" s="2">
        <f t="shared" si="15"/>
        <v>0</v>
      </c>
      <c r="Z18" s="2">
        <f t="shared" si="15"/>
        <v>0</v>
      </c>
      <c r="AA18" s="2">
        <f t="shared" si="15"/>
        <v>0</v>
      </c>
      <c r="AB18" s="2">
        <f t="shared" si="15"/>
        <v>0</v>
      </c>
    </row>
    <row r="19" spans="1:28" ht="45">
      <c r="B19" s="26" t="s">
        <v>20</v>
      </c>
      <c r="D19" s="28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30"/>
    </row>
    <row r="22" spans="1:28">
      <c r="B22" s="12"/>
      <c r="C22" s="12"/>
      <c r="D22" s="12"/>
      <c r="E22" s="12"/>
      <c r="F22" s="12"/>
    </row>
    <row r="23" spans="1:28">
      <c r="A23" s="7"/>
      <c r="F23" s="7"/>
    </row>
    <row r="24" spans="1:28">
      <c r="A24" s="7"/>
      <c r="F24" s="7"/>
    </row>
    <row r="25" spans="1:28">
      <c r="A25" s="7"/>
      <c r="F25" s="7"/>
    </row>
    <row r="26" spans="1:28">
      <c r="A26" s="7"/>
      <c r="F26" s="7"/>
    </row>
    <row r="27" spans="1:28">
      <c r="A27" s="7"/>
      <c r="F27" s="7"/>
    </row>
    <row r="28" spans="1:28">
      <c r="A28" s="7"/>
      <c r="F28" s="7"/>
    </row>
    <row r="29" spans="1:28">
      <c r="A29" s="7"/>
      <c r="F29" s="7"/>
    </row>
    <row r="30" spans="1:28">
      <c r="A30" s="7"/>
      <c r="F30" s="7"/>
    </row>
    <row r="31" spans="1:28">
      <c r="A31" s="7"/>
      <c r="F31" s="7"/>
    </row>
    <row r="32" spans="1:28">
      <c r="A32" s="7"/>
      <c r="F32" s="7"/>
    </row>
    <row r="33" spans="1:6">
      <c r="A33" s="7"/>
      <c r="F33" s="7"/>
    </row>
    <row r="34" spans="1:6">
      <c r="A34" s="7"/>
      <c r="F34" s="7"/>
    </row>
  </sheetData>
  <sheetProtection sheet="1" objects="1" scenarios="1"/>
  <mergeCells count="2">
    <mergeCell ref="D1:AB1"/>
    <mergeCell ref="D19:AB19"/>
  </mergeCells>
  <conditionalFormatting sqref="B3:B13">
    <cfRule type="duplicateValues" dxfId="7" priority="4"/>
  </conditionalFormatting>
  <conditionalFormatting sqref="D3:AB13">
    <cfRule type="cellIs" dxfId="6" priority="5" operator="equal">
      <formula>"ma"</formula>
    </cfRule>
    <cfRule type="cellIs" dxfId="5" priority="6" operator="equal">
      <formula>"dev"</formula>
    </cfRule>
    <cfRule type="cellIs" dxfId="4" priority="7" operator="equal">
      <formula>"me"</formula>
    </cfRule>
    <cfRule type="cellIs" dxfId="3" priority="9" operator="equal">
      <formula>"d"</formula>
    </cfRule>
  </conditionalFormatting>
  <conditionalFormatting sqref="D16:AB18">
    <cfRule type="cellIs" dxfId="2" priority="1" operator="greaterThan">
      <formula>2</formula>
    </cfRule>
    <cfRule type="cellIs" dxfId="1" priority="2" operator="equal">
      <formula>2</formula>
    </cfRule>
    <cfRule type="cellIs" dxfId="0" priority="3" operator="equal">
      <formula>1</formula>
    </cfRule>
  </conditionalFormatting>
  <dataValidations count="2">
    <dataValidation type="list" allowBlank="1" showInputMessage="1" showErrorMessage="1" sqref="B3:B13" xr:uid="{8FD4045A-A634-490E-8292-EF4E55095C2B}">
      <formula1>tasks</formula1>
    </dataValidation>
    <dataValidation type="list" allowBlank="1" showInputMessage="1" showErrorMessage="1" sqref="D14:AB14 D3:AB13" xr:uid="{A557130D-34DA-4017-AED9-B1EC8585DA13}">
      <formula1>"d,ma,me,dev"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7009-8BF3-452A-B3BE-35B7A5487E24}">
  <dimension ref="A1:B15"/>
  <sheetViews>
    <sheetView zoomScale="130" zoomScaleNormal="130" workbookViewId="0">
      <selection activeCell="B15" sqref="A4:B15"/>
    </sheetView>
  </sheetViews>
  <sheetFormatPr defaultRowHeight="15"/>
  <cols>
    <col min="1" max="1" width="48.42578125" bestFit="1" customWidth="1"/>
    <col min="2" max="2" width="15.85546875" customWidth="1"/>
  </cols>
  <sheetData>
    <row r="1" spans="1:2">
      <c r="A1" t="s">
        <v>21</v>
      </c>
    </row>
    <row r="2" spans="1:2">
      <c r="A2" t="s">
        <v>22</v>
      </c>
    </row>
    <row r="4" spans="1:2" ht="42">
      <c r="A4" s="14" t="s">
        <v>23</v>
      </c>
      <c r="B4" s="15" t="s">
        <v>2</v>
      </c>
    </row>
    <row r="5" spans="1:2" ht="21">
      <c r="A5" s="16" t="s">
        <v>24</v>
      </c>
      <c r="B5" s="16">
        <v>9</v>
      </c>
    </row>
    <row r="6" spans="1:2" ht="21">
      <c r="A6" s="16" t="s">
        <v>25</v>
      </c>
      <c r="B6" s="16">
        <v>1</v>
      </c>
    </row>
    <row r="7" spans="1:2" ht="21">
      <c r="A7" s="16" t="s">
        <v>26</v>
      </c>
      <c r="B7" s="16">
        <v>3</v>
      </c>
    </row>
    <row r="8" spans="1:2" ht="21">
      <c r="A8" s="16" t="s">
        <v>27</v>
      </c>
      <c r="B8" s="16">
        <v>2</v>
      </c>
    </row>
    <row r="9" spans="1:2" ht="21">
      <c r="A9" s="16" t="s">
        <v>28</v>
      </c>
      <c r="B9" s="16">
        <v>1</v>
      </c>
    </row>
    <row r="10" spans="1:2" ht="21">
      <c r="A10" s="16" t="s">
        <v>29</v>
      </c>
      <c r="B10" s="16">
        <v>2</v>
      </c>
    </row>
    <row r="11" spans="1:2" ht="21">
      <c r="A11" s="16" t="s">
        <v>30</v>
      </c>
      <c r="B11" s="16">
        <v>4</v>
      </c>
    </row>
    <row r="12" spans="1:2" ht="21">
      <c r="A12" s="16" t="s">
        <v>31</v>
      </c>
      <c r="B12" s="16">
        <v>3</v>
      </c>
    </row>
    <row r="13" spans="1:2" ht="21">
      <c r="A13" s="16" t="s">
        <v>32</v>
      </c>
      <c r="B13" s="16">
        <v>3</v>
      </c>
    </row>
    <row r="14" spans="1:2" ht="21">
      <c r="A14" s="16" t="s">
        <v>33</v>
      </c>
      <c r="B14" s="16">
        <v>2</v>
      </c>
    </row>
    <row r="15" spans="1:2" ht="21">
      <c r="A15" s="16" t="s">
        <v>4</v>
      </c>
      <c r="B15" s="16">
        <v>1</v>
      </c>
    </row>
  </sheetData>
  <sheetProtection sheet="1" objects="1" scenarios="1" selectLockedCells="1" selectUnlockedCells="1"/>
  <sortState xmlns:xlrd2="http://schemas.microsoft.com/office/spreadsheetml/2017/richdata2" ref="A6:C15">
    <sortCondition ref="C5:C15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95251c-bf6e-43ab-a10a-a01e3fc98173" xsi:nil="true"/>
    <lcf76f155ced4ddcb4097134ff3c332f xmlns="111ef56a-03f6-4d1a-a3bd-c075b28a704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284467DF38F345A2338EAEEE810A35" ma:contentTypeVersion="11" ma:contentTypeDescription="Create a new document." ma:contentTypeScope="" ma:versionID="c150b7be3a9c040fc441bd53e0aea146">
  <xsd:schema xmlns:xsd="http://www.w3.org/2001/XMLSchema" xmlns:xs="http://www.w3.org/2001/XMLSchema" xmlns:p="http://schemas.microsoft.com/office/2006/metadata/properties" xmlns:ns2="111ef56a-03f6-4d1a-a3bd-c075b28a704f" xmlns:ns3="e095251c-bf6e-43ab-a10a-a01e3fc98173" targetNamespace="http://schemas.microsoft.com/office/2006/metadata/properties" ma:root="true" ma:fieldsID="21e1a9e4476239581d1c4b6662b39a14" ns2:_="" ns3:_="">
    <xsd:import namespace="111ef56a-03f6-4d1a-a3bd-c075b28a704f"/>
    <xsd:import namespace="e095251c-bf6e-43ab-a10a-a01e3fc98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ef56a-03f6-4d1a-a3bd-c075b28a70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95251c-bf6e-43ab-a10a-a01e3fc981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4a8204e-55df-4bd5-b268-123076d7cd29}" ma:internalName="TaxCatchAll" ma:showField="CatchAllData" ma:web="e095251c-bf6e-43ab-a10a-a01e3fc98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6100F4-D4ED-4BD4-8FE7-97335DE9C30A}"/>
</file>

<file path=customXml/itemProps2.xml><?xml version="1.0" encoding="utf-8"?>
<ds:datastoreItem xmlns:ds="http://schemas.openxmlformats.org/officeDocument/2006/customXml" ds:itemID="{D21B0153-0E15-4A11-B419-508432526CD4}"/>
</file>

<file path=customXml/itemProps3.xml><?xml version="1.0" encoding="utf-8"?>
<ds:datastoreItem xmlns:ds="http://schemas.openxmlformats.org/officeDocument/2006/customXml" ds:itemID="{437B7A86-4221-47DA-9F6A-79AFAF25B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Graham</dc:creator>
  <cp:keywords/>
  <dc:description/>
  <cp:lastModifiedBy>Mark Graham</cp:lastModifiedBy>
  <cp:revision/>
  <dcterms:created xsi:type="dcterms:W3CDTF">2015-06-05T18:19:34Z</dcterms:created>
  <dcterms:modified xsi:type="dcterms:W3CDTF">2025-10-19T16:38:36Z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0x01010015284467DF38F345A2338EAEEE810A35</vt:lpwstr>
  </property>
  <property fmtid="{D5CDD505-2E9C-101B-9397-08002B2CF9AE}" pid="3" name="MediaServiceImageTags">
    <vt:lpwstr/>
  </property>
</Properties>
</file>