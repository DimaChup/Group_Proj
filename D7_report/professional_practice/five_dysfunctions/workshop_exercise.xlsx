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defaultThemeVersion="166925"/>
  <mc:AlternateContent xmlns:mc="http://schemas.openxmlformats.org/markup-compatibility/2006">
    <mc:Choice Requires="x15">
      <x15ac:absPath xmlns:x15ac="http://schemas.microsoft.com/office/spreadsheetml/2010/11/ac" url="https://uob-my.sharepoint.com/personal/wr18962_bristol_ac_uk/Documents/Files/Units/AENG20007 AVDASI2/Planning/Teaching Topics/Five 5 Dysfunctions/"/>
    </mc:Choice>
  </mc:AlternateContent>
  <xr:revisionPtr revIDLastSave="803" documentId="8_{6322306A-26F7-488A-9D99-A9A8F79785EF}" xr6:coauthVersionLast="47" xr6:coauthVersionMax="47" xr10:uidLastSave="{25DEEB24-21D9-4068-9E1A-23B0D58D4C5E}"/>
  <workbookProtection lockStructure="1"/>
  <bookViews>
    <workbookView xWindow="-120" yWindow="-120" windowWidth="29040" windowHeight="15840" firstSheet="1" activeTab="1" xr2:uid="{5ABEC3CA-DD5C-4156-8BE7-911FC078B5B1}"/>
  </bookViews>
  <sheets>
    <sheet name="1 - Instructions" sheetId="3" r:id="rId1"/>
    <sheet name="2 - Questions" sheetId="1" r:id="rId2"/>
    <sheet name="3 - Results &amp; Interpretation"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4" l="1"/>
  <c r="B4" i="4"/>
  <c r="B6" i="4"/>
  <c r="B5" i="4"/>
  <c r="B3" i="4"/>
</calcChain>
</file>

<file path=xl/sharedStrings.xml><?xml version="1.0" encoding="utf-8"?>
<sst xmlns="http://schemas.openxmlformats.org/spreadsheetml/2006/main" count="64" uniqueCount="64">
  <si>
    <r>
      <rPr>
        <b/>
        <sz val="11"/>
        <color theme="1"/>
        <rFont val="Calibri"/>
        <family val="2"/>
        <scheme val="minor"/>
      </rPr>
      <t xml:space="preserve">Introduction
</t>
    </r>
    <r>
      <rPr>
        <sz val="11"/>
        <color theme="1"/>
        <rFont val="Calibri"/>
        <family val="2"/>
        <scheme val="minor"/>
      </rPr>
      <t xml:space="preserve">This assessment allows your team to identify it's strengths and weaknesses the against the Five Dysfunctions model.
You can complete the assessment individually, or, more usefully, as a team.
The assessment should not take longer than 15 minutes.
</t>
    </r>
  </si>
  <si>
    <r>
      <rPr>
        <b/>
        <sz val="11"/>
        <color theme="1"/>
        <rFont val="Calibri"/>
        <family val="2"/>
        <scheme val="minor"/>
      </rPr>
      <t xml:space="preserve">Instructions
</t>
    </r>
    <r>
      <rPr>
        <sz val="11"/>
        <color theme="1"/>
        <rFont val="Calibri"/>
        <family val="2"/>
        <scheme val="minor"/>
      </rPr>
      <t xml:space="preserve">
1. On the next sheet there are 38 short statements. For each statement, select a number on the 1-5 scale for how strongly each statement applies to your team. 
2. When you have completed the scoring, look at the results sheet which will show an average for each dimension. Read the highlighted summary comment for your team.
</t>
    </r>
  </si>
  <si>
    <t>Team members admit their mistakes.</t>
  </si>
  <si>
    <t>Team members are passionate and unguarded in their discussion of issues.</t>
  </si>
  <si>
    <t>Team members are quick to point out the contributions and achievements of others.</t>
  </si>
  <si>
    <t>Team meetings are interesting and compelling (not boring).</t>
  </si>
  <si>
    <t>During team meetings, the most important—and difficult—issues are discussed.</t>
  </si>
  <si>
    <t>Team members acknowledge their weaknesses to one another.</t>
  </si>
  <si>
    <t>Team members voice their opinions even at the risk of causing disagreement.</t>
  </si>
  <si>
    <t>Team members point out one another’s unproductive behaviors.</t>
  </si>
  <si>
    <t>The team has a reputation for high performance.</t>
  </si>
  <si>
    <t>Team members ask for help without hesitation.</t>
  </si>
  <si>
    <t>Team members leave meetings confident that everyone is committed to the decisions that were agreed upon.</t>
  </si>
  <si>
    <t>During discussions, team members challenge one another about how they arrived at their conclusions and opinions.</t>
  </si>
  <si>
    <t>Team members ask one another for input regarding their areas of responsibility.</t>
  </si>
  <si>
    <t>When the team fails to achieve collective goals, each member takes personal responsibility to improve the team’s performance.</t>
  </si>
  <si>
    <t>Team members willingly make sacrifices in their areas for the good of the team.</t>
  </si>
  <si>
    <t>Team members are quick to confront peers about problems in their respective areas of responsibility.</t>
  </si>
  <si>
    <t>Team members acknowledge and tap into one another’s skills and expertise.</t>
  </si>
  <si>
    <t>Team members solicit one another’s opinions during meetings.</t>
  </si>
  <si>
    <t>Team members end discussions with clear and specific resolutions and calls to action.</t>
  </si>
  <si>
    <t>Team members question one another about their current approaches and methods.</t>
  </si>
  <si>
    <t>The team ensures that poor performers feel pressure and the expectation to improve.</t>
  </si>
  <si>
    <t>Team members willingly apologize to one another.</t>
  </si>
  <si>
    <t>Team members communicate unpopular opinions to the group.</t>
  </si>
  <si>
    <t>The team is clear about its direction and priorities.</t>
  </si>
  <si>
    <t>Team members are slow to seek credit for their own contributions.</t>
  </si>
  <si>
    <t>All members of the team are held to the same high standards.</t>
  </si>
  <si>
    <t>When conflict occurs, the team confronts and deals with the issue before moving to another subject.</t>
  </si>
  <si>
    <t>The team is aligned around common objectives.</t>
  </si>
  <si>
    <t>The team consistently achieves its objectives.</t>
  </si>
  <si>
    <t>The team is decisive, even when perfect information is not available.</t>
  </si>
  <si>
    <t>Team members value collective success more than individual achievement.</t>
  </si>
  <si>
    <t>Team members are unguarded and genuine with one another.</t>
  </si>
  <si>
    <t>Team members can comfortably discuss their personal lives with one another.</t>
  </si>
  <si>
    <t>The team sticks to decisions.</t>
  </si>
  <si>
    <t>Team members consistently follow through on promises and commitments.</t>
  </si>
  <si>
    <t>Team members offer unprovoked, constructive feedback to one another.</t>
  </si>
  <si>
    <t>Team members place little importance on titles and status. (A high score on this statement indicates that titles and status are NOT important to team members.)</t>
  </si>
  <si>
    <t>Team members support group decisions even if they initially disagreed.</t>
  </si>
  <si>
    <t>Assessment results</t>
  </si>
  <si>
    <r>
      <t xml:space="preserve">High 
</t>
    </r>
    <r>
      <rPr>
        <sz val="18"/>
        <color theme="1"/>
        <rFont val="Calibri"/>
        <family val="2"/>
      </rPr>
      <t>≥</t>
    </r>
    <r>
      <rPr>
        <sz val="18"/>
        <color theme="1"/>
        <rFont val="Calibri"/>
        <family val="2"/>
        <scheme val="minor"/>
      </rPr>
      <t>3.75</t>
    </r>
  </si>
  <si>
    <t>Medium
3.25-3.74</t>
  </si>
  <si>
    <t>Low
&lt;3.25</t>
  </si>
  <si>
    <t>ATTENTION TO RESULTS =</t>
  </si>
  <si>
    <t>Your team values collective outcomes more than individual recognition and attainment of status.</t>
  </si>
  <si>
    <t>Members of your team may be placing too much importance on individual or departmental recognition and ego, rather than focusing on the collective goals of the team.</t>
  </si>
  <si>
    <t>Your team needs to place greater value on the collective achievement of outcomes, rather than individual or departmental recognition and ego.</t>
  </si>
  <si>
    <t>ACCOUNTABILITY =</t>
  </si>
  <si>
    <t>Your team does not hesitate to confront one another about performance and behavioural concerns.</t>
  </si>
  <si>
    <t>Your team may be hesitating to confront one another about performance and behavioural concerns.</t>
  </si>
  <si>
    <t>Your team hesitates to confront one another about performance and behavioural concerns.</t>
  </si>
  <si>
    <t>COMMITMENT =</t>
  </si>
  <si>
    <t>Your team is able to buy-in to clear decisions leaving little room for ambiguity and second-guessing.</t>
  </si>
  <si>
    <t>Your team may struggle at times to buy-in to clear decisions. This could be creating ambiguity within the organization.</t>
  </si>
  <si>
    <t>Your team is not able to buy-in to clear decisions, leaving room for ambiguity and second-guessing.</t>
  </si>
  <si>
    <t>HEALTHY CONFLICT =</t>
  </si>
  <si>
    <t>Your team is comfortable engaging in unfiltered discussion around important topics.</t>
  </si>
  <si>
    <t>Your team may need to learn to engage in more unfiltered discussion around important topics.</t>
  </si>
  <si>
    <t>Your team is not comfortable engaging in unfiltered discussion around important topics.</t>
  </si>
  <si>
    <t>TRUST =</t>
  </si>
  <si>
    <t>Your team has created an environment where vulnerability and openness are the norm.</t>
  </si>
  <si>
    <t>Your team may need to get more comfortable being vulnerable and open with one another about individual strengths, weaknesses, mistakes and needs for help.</t>
  </si>
  <si>
    <t>Your team lacks necessary levels of openness and vulnerability about individual strengths, weaknesses, mistakes and needs for help.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</si>
</sst>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quot;0&quot; of 38&quot;"/>
  </numFmts>
  <fonts count="7">
    <font>
      <sz val="11"/>
      <color theme="1"/>
      <name val="Calibri"/>
      <family val="2"/>
      <scheme val="minor"/>
    </font>
    <font>
      <sz val="18"/>
      <color theme="1"/>
      <name val="Calibri"/>
      <family val="2"/>
      <scheme val="minor"/>
    </font>
    <font>
      <sz val="16"/>
      <color theme="1"/>
      <name val="Calibri"/>
      <family val="2"/>
      <scheme val="minor"/>
    </font>
    <font>
      <b/>
      <sz val="11"/>
      <color theme="1"/>
      <name val="Calibri"/>
      <family val="2"/>
      <scheme val="minor"/>
    </font>
    <font>
      <sz val="14"/>
      <color theme="0" tint="-0.499984740745262"/>
      <name val="Calibri"/>
      <family val="2"/>
      <scheme val="minor"/>
    </font>
    <font>
      <sz val="18"/>
      <color theme="1"/>
      <name val="Calibri"/>
      <family val="2"/>
    </font>
    <font>
      <sz val="16"/>
      <color theme="1"/>
      <name val="Berlin Sans FB Demi"/>
      <family val="2"/>
    </font>
  </fonts>
  <fills count="9">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rgb="FF92D050"/>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164" fontId="2" fillId="3" borderId="1" xfId="0" applyNumberFormat="1" applyFont="1" applyFill="1" applyBorder="1" applyAlignment="1">
      <alignment horizontal="center" vertical="center"/>
    </xf>
    <xf numFmtId="0" fontId="2" fillId="2" borderId="1" xfId="0" applyFont="1" applyFill="1" applyBorder="1" applyAlignment="1">
      <alignment vertical="center" wrapText="1"/>
    </xf>
    <xf numFmtId="0" fontId="0" fillId="0" borderId="1" xfId="0" applyBorder="1" applyAlignment="1">
      <alignment vertical="top" wrapText="1"/>
    </xf>
    <xf numFmtId="2" fontId="1" fillId="0" borderId="2" xfId="0" applyNumberFormat="1" applyFont="1" applyBorder="1" applyAlignment="1">
      <alignment horizontal="center" vertical="center"/>
    </xf>
    <xf numFmtId="0" fontId="0" fillId="0" borderId="0" xfId="0" applyAlignment="1">
      <alignment horizontal="center"/>
    </xf>
    <xf numFmtId="0" fontId="0" fillId="0" borderId="1" xfId="0" quotePrefix="1" applyBorder="1" applyAlignment="1">
      <alignment wrapText="1"/>
    </xf>
    <xf numFmtId="0" fontId="2" fillId="4" borderId="1" xfId="0" applyFont="1" applyFill="1" applyBorder="1" applyAlignment="1" applyProtection="1">
      <alignment horizontal="center" vertical="center"/>
      <protection locked="0"/>
    </xf>
    <xf numFmtId="0" fontId="4" fillId="8" borderId="2"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1" fillId="5" borderId="1" xfId="0" applyFont="1" applyFill="1" applyBorder="1" applyAlignment="1">
      <alignment horizontal="center" wrapText="1"/>
    </xf>
    <xf numFmtId="0" fontId="1" fillId="6" borderId="1" xfId="0" applyFont="1" applyFill="1" applyBorder="1" applyAlignment="1">
      <alignment horizontal="center" wrapText="1"/>
    </xf>
    <xf numFmtId="0" fontId="6" fillId="0" borderId="3" xfId="0" applyFont="1" applyBorder="1" applyAlignment="1">
      <alignment horizontal="right" vertical="center"/>
    </xf>
    <xf numFmtId="0" fontId="6" fillId="0" borderId="3" xfId="0" applyFont="1" applyBorder="1" applyAlignment="1">
      <alignment horizontal="right" vertical="center" wrapText="1"/>
    </xf>
    <xf numFmtId="0" fontId="1" fillId="7" borderId="3" xfId="0" applyFont="1" applyFill="1" applyBorder="1" applyAlignment="1">
      <alignment horizontal="center" wrapText="1"/>
    </xf>
    <xf numFmtId="0" fontId="4" fillId="8" borderId="3"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cellXfs>
  <cellStyles count="1">
    <cellStyle name="Normal" xfId="0" builtinId="0"/>
  </cellStyles>
  <dxfs count="5">
    <dxf>
      <font>
        <b/>
        <i val="0"/>
        <color theme="1"/>
      </font>
      <fill>
        <patternFill>
          <bgColor rgb="FFFCA192"/>
        </patternFill>
      </fill>
    </dxf>
    <dxf>
      <font>
        <b/>
        <i val="0"/>
        <color auto="1"/>
      </font>
      <fill>
        <patternFill>
          <bgColor theme="7" tint="0.39994506668294322"/>
        </patternFill>
      </fill>
    </dxf>
    <dxf>
      <font>
        <b/>
        <i val="0"/>
        <color auto="1"/>
      </font>
      <fill>
        <patternFill>
          <bgColor theme="9" tint="0.59996337778862885"/>
        </patternFill>
      </fill>
    </dxf>
    <dxf>
      <font>
        <color theme="0" tint="-0.14996795556505021"/>
      </font>
      <fill>
        <patternFill patternType="none">
          <bgColor auto="1"/>
        </patternFill>
      </fill>
      <border>
        <left/>
        <right/>
        <top/>
        <bottom/>
      </border>
    </dxf>
    <dxf>
      <font>
        <color theme="0" tint="-0.14996795556505021"/>
      </font>
      <fill>
        <patternFill patternType="none">
          <bgColor auto="1"/>
        </patternFill>
      </fill>
      <border>
        <left/>
        <right/>
        <top/>
        <bottom/>
      </border>
    </dxf>
  </dxfs>
  <tableStyles count="0" defaultTableStyle="TableStyleMedium2" defaultPivotStyle="PivotStyleLight16"/>
  <colors>
    <mruColors>
      <color rgb="FFFCA192"/>
      <color rgb="FFFF9933"/>
      <color rgb="FFD09E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215424</xdr:colOff>
      <xdr:row>1</xdr:row>
      <xdr:rowOff>68037</xdr:rowOff>
    </xdr:from>
    <xdr:to>
      <xdr:col>5</xdr:col>
      <xdr:colOff>9584733</xdr:colOff>
      <xdr:row>5</xdr:row>
      <xdr:rowOff>1236728</xdr:rowOff>
    </xdr:to>
    <xdr:pic>
      <xdr:nvPicPr>
        <xdr:cNvPr id="3" name="Picture 2">
          <a:extLst>
            <a:ext uri="{FF2B5EF4-FFF2-40B4-BE49-F238E27FC236}">
              <a16:creationId xmlns:a16="http://schemas.microsoft.com/office/drawing/2014/main" id="{DE521C79-189D-0551-3030-5C70D218F43F}"/>
            </a:ext>
          </a:extLst>
        </xdr:cNvPr>
        <xdr:cNvPicPr>
          <a:picLocks noChangeAspect="1"/>
        </xdr:cNvPicPr>
      </xdr:nvPicPr>
      <xdr:blipFill>
        <a:blip xmlns:r="http://schemas.openxmlformats.org/officeDocument/2006/relationships" r:embed="rId1"/>
        <a:stretch>
          <a:fillRect/>
        </a:stretch>
      </xdr:blipFill>
      <xdr:spPr>
        <a:xfrm>
          <a:off x="9685995" y="653144"/>
          <a:ext cx="9369309" cy="594479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D2892-25CC-4AC9-B116-5133FFB4E05F}">
  <dimension ref="A1:XFB2"/>
  <sheetViews>
    <sheetView showGridLines="0" zoomScale="160" zoomScaleNormal="160" workbookViewId="0"/>
  </sheetViews>
  <sheetFormatPr defaultColWidth="9.140625" defaultRowHeight="15" zeroHeight="1"/>
  <cols>
    <col min="1" max="1" width="66.7109375" customWidth="1"/>
    <col min="2" max="16382" width="0" hidden="1" customWidth="1"/>
    <col min="16383" max="16384" width="9.140625" hidden="1"/>
  </cols>
  <sheetData>
    <row r="1" spans="1:1" ht="120">
      <c r="A1" s="6" t="s">
        <v>0</v>
      </c>
    </row>
    <row r="2" spans="1:1" ht="150">
      <c r="A2" s="9" t="s">
        <v>1</v>
      </c>
    </row>
  </sheetData>
  <sheetProtection sheet="1" objects="1" scenarios="1" selectLockedCells="1" selectUnlockedCell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D5A09-34EC-4BD8-A1BE-436FBCE4EBAC}">
  <dimension ref="A1:C38"/>
  <sheetViews>
    <sheetView tabSelected="1" workbookViewId="0">
      <selection activeCell="C2" sqref="C2"/>
    </sheetView>
  </sheetViews>
  <sheetFormatPr defaultColWidth="0" defaultRowHeight="15" zeroHeight="1"/>
  <cols>
    <col min="1" max="1" width="18.28515625" style="3" customWidth="1"/>
    <col min="2" max="2" width="62.85546875" style="2" customWidth="1"/>
    <col min="3" max="3" width="29.140625" style="1" customWidth="1"/>
    <col min="4" max="16384" width="9.140625" style="1" hidden="1"/>
  </cols>
  <sheetData>
    <row r="1" spans="1:3" ht="21">
      <c r="A1" s="4">
        <v>1</v>
      </c>
      <c r="B1" s="5" t="s">
        <v>2</v>
      </c>
      <c r="C1" s="10"/>
    </row>
    <row r="2" spans="1:3" ht="42">
      <c r="A2" s="4">
        <v>2</v>
      </c>
      <c r="B2" s="5" t="s">
        <v>3</v>
      </c>
      <c r="C2" s="10"/>
    </row>
    <row r="3" spans="1:3" ht="42">
      <c r="A3" s="4">
        <v>3</v>
      </c>
      <c r="B3" s="5" t="s">
        <v>4</v>
      </c>
      <c r="C3" s="10"/>
    </row>
    <row r="4" spans="1:3" ht="42">
      <c r="A4" s="4">
        <v>4</v>
      </c>
      <c r="B4" s="5" t="s">
        <v>5</v>
      </c>
      <c r="C4" s="10"/>
    </row>
    <row r="5" spans="1:3" ht="42">
      <c r="A5" s="4">
        <v>5</v>
      </c>
      <c r="B5" s="5" t="s">
        <v>6</v>
      </c>
      <c r="C5" s="10"/>
    </row>
    <row r="6" spans="1:3" ht="42">
      <c r="A6" s="4">
        <v>6</v>
      </c>
      <c r="B6" s="5" t="s">
        <v>7</v>
      </c>
      <c r="C6" s="10"/>
    </row>
    <row r="7" spans="1:3" ht="42">
      <c r="A7" s="4">
        <v>7</v>
      </c>
      <c r="B7" s="5" t="s">
        <v>8</v>
      </c>
      <c r="C7" s="10"/>
    </row>
    <row r="8" spans="1:3" ht="42">
      <c r="A8" s="4">
        <v>8</v>
      </c>
      <c r="B8" s="5" t="s">
        <v>9</v>
      </c>
      <c r="C8" s="10"/>
    </row>
    <row r="9" spans="1:3" ht="21">
      <c r="A9" s="4">
        <v>9</v>
      </c>
      <c r="B9" s="5" t="s">
        <v>10</v>
      </c>
      <c r="C9" s="10"/>
    </row>
    <row r="10" spans="1:3" ht="21">
      <c r="A10" s="4">
        <v>10</v>
      </c>
      <c r="B10" s="5" t="s">
        <v>11</v>
      </c>
      <c r="C10" s="10"/>
    </row>
    <row r="11" spans="1:3" ht="63">
      <c r="A11" s="4">
        <v>11</v>
      </c>
      <c r="B11" s="5" t="s">
        <v>12</v>
      </c>
      <c r="C11" s="10"/>
    </row>
    <row r="12" spans="1:3" ht="63">
      <c r="A12" s="4">
        <v>12</v>
      </c>
      <c r="B12" s="5" t="s">
        <v>13</v>
      </c>
      <c r="C12" s="10"/>
    </row>
    <row r="13" spans="1:3" ht="42">
      <c r="A13" s="4">
        <v>13</v>
      </c>
      <c r="B13" s="5" t="s">
        <v>14</v>
      </c>
      <c r="C13" s="10"/>
    </row>
    <row r="14" spans="1:3" ht="63">
      <c r="A14" s="4">
        <v>14</v>
      </c>
      <c r="B14" s="5" t="s">
        <v>15</v>
      </c>
      <c r="C14" s="10"/>
    </row>
    <row r="15" spans="1:3" ht="42">
      <c r="A15" s="4">
        <v>15</v>
      </c>
      <c r="B15" s="5" t="s">
        <v>16</v>
      </c>
      <c r="C15" s="10"/>
    </row>
    <row r="16" spans="1:3" ht="63">
      <c r="A16" s="4">
        <v>16</v>
      </c>
      <c r="B16" s="5" t="s">
        <v>17</v>
      </c>
      <c r="C16" s="10"/>
    </row>
    <row r="17" spans="1:3" ht="42">
      <c r="A17" s="4">
        <v>17</v>
      </c>
      <c r="B17" s="5" t="s">
        <v>18</v>
      </c>
      <c r="C17" s="10"/>
    </row>
    <row r="18" spans="1:3" ht="42">
      <c r="A18" s="4">
        <v>18</v>
      </c>
      <c r="B18" s="5" t="s">
        <v>19</v>
      </c>
      <c r="C18" s="10"/>
    </row>
    <row r="19" spans="1:3" ht="42">
      <c r="A19" s="4">
        <v>19</v>
      </c>
      <c r="B19" s="5" t="s">
        <v>20</v>
      </c>
      <c r="C19" s="10"/>
    </row>
    <row r="20" spans="1:3" ht="42">
      <c r="A20" s="4">
        <v>20</v>
      </c>
      <c r="B20" s="5" t="s">
        <v>21</v>
      </c>
      <c r="C20" s="10"/>
    </row>
    <row r="21" spans="1:3" ht="42">
      <c r="A21" s="4">
        <v>21</v>
      </c>
      <c r="B21" s="5" t="s">
        <v>22</v>
      </c>
      <c r="C21" s="10"/>
    </row>
    <row r="22" spans="1:3" ht="42">
      <c r="A22" s="4">
        <v>22</v>
      </c>
      <c r="B22" s="5" t="s">
        <v>23</v>
      </c>
      <c r="C22" s="10"/>
    </row>
    <row r="23" spans="1:3" ht="42">
      <c r="A23" s="4">
        <v>23</v>
      </c>
      <c r="B23" s="5" t="s">
        <v>24</v>
      </c>
      <c r="C23" s="10"/>
    </row>
    <row r="24" spans="1:3" ht="42">
      <c r="A24" s="4">
        <v>24</v>
      </c>
      <c r="B24" s="5" t="s">
        <v>25</v>
      </c>
      <c r="C24" s="10"/>
    </row>
    <row r="25" spans="1:3" ht="42">
      <c r="A25" s="4">
        <v>25</v>
      </c>
      <c r="B25" s="5" t="s">
        <v>26</v>
      </c>
      <c r="C25" s="10"/>
    </row>
    <row r="26" spans="1:3" ht="42">
      <c r="A26" s="4">
        <v>26</v>
      </c>
      <c r="B26" s="5" t="s">
        <v>27</v>
      </c>
      <c r="C26" s="10"/>
    </row>
    <row r="27" spans="1:3" ht="63">
      <c r="A27" s="4">
        <v>27</v>
      </c>
      <c r="B27" s="5" t="s">
        <v>28</v>
      </c>
      <c r="C27" s="10"/>
    </row>
    <row r="28" spans="1:3" ht="21">
      <c r="A28" s="4">
        <v>28</v>
      </c>
      <c r="B28" s="5" t="s">
        <v>29</v>
      </c>
      <c r="C28" s="10"/>
    </row>
    <row r="29" spans="1:3" ht="21">
      <c r="A29" s="4">
        <v>29</v>
      </c>
      <c r="B29" s="5" t="s">
        <v>30</v>
      </c>
      <c r="C29" s="10"/>
    </row>
    <row r="30" spans="1:3" ht="42">
      <c r="A30" s="4">
        <v>30</v>
      </c>
      <c r="B30" s="5" t="s">
        <v>31</v>
      </c>
      <c r="C30" s="10"/>
    </row>
    <row r="31" spans="1:3" ht="42">
      <c r="A31" s="4">
        <v>31</v>
      </c>
      <c r="B31" s="5" t="s">
        <v>32</v>
      </c>
      <c r="C31" s="10"/>
    </row>
    <row r="32" spans="1:3" ht="42">
      <c r="A32" s="4">
        <v>32</v>
      </c>
      <c r="B32" s="5" t="s">
        <v>33</v>
      </c>
      <c r="C32" s="10"/>
    </row>
    <row r="33" spans="1:3" ht="42">
      <c r="A33" s="4">
        <v>33</v>
      </c>
      <c r="B33" s="5" t="s">
        <v>34</v>
      </c>
      <c r="C33" s="10"/>
    </row>
    <row r="34" spans="1:3" ht="21">
      <c r="A34" s="4">
        <v>34</v>
      </c>
      <c r="B34" s="5" t="s">
        <v>35</v>
      </c>
      <c r="C34" s="10"/>
    </row>
    <row r="35" spans="1:3" ht="42">
      <c r="A35" s="4">
        <v>35</v>
      </c>
      <c r="B35" s="5" t="s">
        <v>36</v>
      </c>
      <c r="C35" s="10"/>
    </row>
    <row r="36" spans="1:3" ht="42">
      <c r="A36" s="4">
        <v>36</v>
      </c>
      <c r="B36" s="5" t="s">
        <v>37</v>
      </c>
      <c r="C36" s="10"/>
    </row>
    <row r="37" spans="1:3" ht="84">
      <c r="A37" s="4">
        <v>37</v>
      </c>
      <c r="B37" s="5" t="s">
        <v>38</v>
      </c>
      <c r="C37" s="10"/>
    </row>
    <row r="38" spans="1:3" ht="42">
      <c r="A38" s="4">
        <v>38</v>
      </c>
      <c r="B38" s="5" t="s">
        <v>39</v>
      </c>
      <c r="C38" s="10"/>
    </row>
  </sheetData>
  <sheetProtection sheet="1" objects="1" scenarios="1"/>
  <conditionalFormatting sqref="A1:C38">
    <cfRule type="expression" dxfId="4" priority="3">
      <formula>$C1&gt;0</formula>
    </cfRule>
  </conditionalFormatting>
  <conditionalFormatting sqref="A2:C38">
    <cfRule type="expression" dxfId="3" priority="2">
      <formula>$C1&lt;1</formula>
    </cfRule>
  </conditionalFormatting>
  <dataValidations count="1">
    <dataValidation type="list" allowBlank="1" showInputMessage="1" showErrorMessage="1" sqref="C1:C38" xr:uid="{0A051CC6-B34F-455B-9F92-E66F479358BB}">
      <formula1>"1 - Never,2 - Rarely,3 - Sometimes,4 - Usually,5 - Always"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9E0FB-0012-4964-AD90-234AF3B545FB}">
  <dimension ref="A1:F6"/>
  <sheetViews>
    <sheetView showGridLines="0" zoomScale="70" zoomScaleNormal="70" workbookViewId="0">
      <selection sqref="A1:B1"/>
    </sheetView>
  </sheetViews>
  <sheetFormatPr defaultColWidth="0" defaultRowHeight="15" zeroHeight="1"/>
  <cols>
    <col min="1" max="1" width="28" customWidth="1"/>
    <col min="2" max="2" width="13.7109375" customWidth="1"/>
    <col min="3" max="5" width="33.42578125" style="8" customWidth="1"/>
    <col min="6" max="6" width="148.42578125" customWidth="1"/>
    <col min="7" max="16384" width="9.140625" hidden="1"/>
  </cols>
  <sheetData>
    <row r="1" spans="1:5" ht="46.5">
      <c r="A1" s="19" t="s">
        <v>40</v>
      </c>
      <c r="B1" s="20"/>
      <c r="C1" s="13" t="s">
        <v>41</v>
      </c>
      <c r="D1" s="14" t="s">
        <v>42</v>
      </c>
      <c r="E1" s="17" t="s">
        <v>43</v>
      </c>
    </row>
    <row r="2" spans="1:5" ht="131.25">
      <c r="A2" s="16" t="s">
        <v>44</v>
      </c>
      <c r="B2" s="7" t="e">
        <f>AVERAGE(LEFT('2 - Questions'!$C$3,1),
LEFT('2 - Questions'!$C$9,1),
LEFT('2 - Questions'!$C$14,1),
LEFT('2 - Questions'!$C$15,1),
LEFT('2 - Questions'!$C$25,1),
LEFT('2 - Questions'!$C$29,1),
LEFT('2 - Questions'!$C$31,1),
LEFT('2 - Questions'!$C$37,1))</f>
        <v>#VALUE!</v>
      </c>
      <c r="C2" s="11" t="s">
        <v>45</v>
      </c>
      <c r="D2" s="12" t="s">
        <v>46</v>
      </c>
      <c r="E2" s="18" t="s">
        <v>47</v>
      </c>
    </row>
    <row r="3" spans="1:5" ht="75">
      <c r="A3" s="15" t="s">
        <v>48</v>
      </c>
      <c r="B3" s="7" t="e">
        <f>AVERAGE(LEFT('2 - Questions'!$C$8,1),
LEFT('2 - Questions'!$C$16,1),
LEFT('2 - Questions'!$C$20,1),
LEFT('2 - Questions'!$C$21,1),
LEFT('2 - Questions'!$C$26,1),
LEFT('2 - Questions'!$C$35,1),
LEFT('2 - Questions'!$C$36,1))</f>
        <v>#VALUE!</v>
      </c>
      <c r="C3" s="11" t="s">
        <v>49</v>
      </c>
      <c r="D3" s="12" t="s">
        <v>50</v>
      </c>
      <c r="E3" s="18" t="s">
        <v>51</v>
      </c>
    </row>
    <row r="4" spans="1:5" ht="93.75">
      <c r="A4" s="15" t="s">
        <v>52</v>
      </c>
      <c r="B4" s="7" t="e">
        <f>AVERAGE(LEFT('2 - Questions'!$C$11,1),
LEFT('2 - Questions'!$C$19,1),
LEFT('2 - Questions'!$C$24,1),
LEFT('2 - Questions'!$C$28,1),
LEFT('2 - Questions'!$C$30,1),
LEFT('2 - Questions'!$C$34,1),
LEFT('2 - Questions'!$C$38,1))</f>
        <v>#VALUE!</v>
      </c>
      <c r="C4" s="11" t="s">
        <v>53</v>
      </c>
      <c r="D4" s="12" t="s">
        <v>54</v>
      </c>
      <c r="E4" s="18" t="s">
        <v>55</v>
      </c>
    </row>
    <row r="5" spans="1:5" ht="75">
      <c r="A5" s="16" t="s">
        <v>56</v>
      </c>
      <c r="B5" s="7" t="e">
        <f>AVERAGE(LEFT('2 - Questions'!$C$2,1),
LEFT('2 - Questions'!$C$4,1),
LEFT('2 - Questions'!$C$5,1),
LEFT('2 - Questions'!$C$7,1),
LEFT('2 - Questions'!$C$12,1),
LEFT('2 - Questions'!$C$18,1),
LEFT('2 - Questions'!$C$23,1),
LEFT('2 - Questions'!$C$27,1))</f>
        <v>#VALUE!</v>
      </c>
      <c r="C5" s="11" t="s">
        <v>57</v>
      </c>
      <c r="D5" s="12" t="s">
        <v>58</v>
      </c>
      <c r="E5" s="18" t="s">
        <v>59</v>
      </c>
    </row>
    <row r="6" spans="1:5" ht="131.25">
      <c r="A6" s="15" t="s">
        <v>60</v>
      </c>
      <c r="B6" s="7" t="e">
        <f>AVERAGE(LEFT('2 - Questions'!$C$1,1),
LEFT('2 - Questions'!$C$6,1),
LEFT('2 - Questions'!$C$10,1),
LEFT('2 - Questions'!$C$13,1),
LEFT('2 - Questions'!$C$17,1),
LEFT('2 - Questions'!$C$22,1),
LEFT('2 - Questions'!$C$32,1),
LEFT('2 - Questions'!$C$33,1))</f>
        <v>#VALUE!</v>
      </c>
      <c r="C6" s="11" t="s">
        <v>61</v>
      </c>
      <c r="D6" s="12" t="s">
        <v>62</v>
      </c>
      <c r="E6" s="18" t="s">
        <v>63</v>
      </c>
    </row>
  </sheetData>
  <sheetProtection sheet="1" objects="1" scenarios="1"/>
  <mergeCells count="1">
    <mergeCell ref="A1:B1"/>
  </mergeCells>
  <conditionalFormatting sqref="C2:C6">
    <cfRule type="expression" dxfId="2" priority="13">
      <formula>$B2&gt;=3.75</formula>
    </cfRule>
  </conditionalFormatting>
  <conditionalFormatting sqref="D2:D6">
    <cfRule type="expression" dxfId="1" priority="14">
      <formula>AND($B2&lt;3.75,$B2&gt;3.24)</formula>
    </cfRule>
  </conditionalFormatting>
  <conditionalFormatting sqref="E2:E6">
    <cfRule type="expression" dxfId="0" priority="15">
      <formula>$B2&lt;3.25</formula>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095251c-bf6e-43ab-a10a-a01e3fc98173" xsi:nil="true"/>
    <lcf76f155ced4ddcb4097134ff3c332f xmlns="111ef56a-03f6-4d1a-a3bd-c075b28a704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5284467DF38F345A2338EAEEE810A35" ma:contentTypeVersion="11" ma:contentTypeDescription="Create a new document." ma:contentTypeScope="" ma:versionID="c150b7be3a9c040fc441bd53e0aea146">
  <xsd:schema xmlns:xsd="http://www.w3.org/2001/XMLSchema" xmlns:xs="http://www.w3.org/2001/XMLSchema" xmlns:p="http://schemas.microsoft.com/office/2006/metadata/properties" xmlns:ns2="111ef56a-03f6-4d1a-a3bd-c075b28a704f" xmlns:ns3="e095251c-bf6e-43ab-a10a-a01e3fc98173" targetNamespace="http://schemas.microsoft.com/office/2006/metadata/properties" ma:root="true" ma:fieldsID="21e1a9e4476239581d1c4b6662b39a14" ns2:_="" ns3:_="">
    <xsd:import namespace="111ef56a-03f6-4d1a-a3bd-c075b28a704f"/>
    <xsd:import namespace="e095251c-bf6e-43ab-a10a-a01e3fc9817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1ef56a-03f6-4d1a-a3bd-c075b28a70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dd084387-097e-4aef-8f33-0dee7b0eb57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095251c-bf6e-43ab-a10a-a01e3fc9817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4a8204e-55df-4bd5-b268-123076d7cd29}" ma:internalName="TaxCatchAll" ma:showField="CatchAllData" ma:web="e095251c-bf6e-43ab-a10a-a01e3fc981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B0B32A-7C4E-4395-98DA-09DF8A2DCB4A}"/>
</file>

<file path=customXml/itemProps2.xml><?xml version="1.0" encoding="utf-8"?>
<ds:datastoreItem xmlns:ds="http://schemas.openxmlformats.org/officeDocument/2006/customXml" ds:itemID="{2A956953-B1D4-4DDF-A3F1-638BDD7D5FDD}"/>
</file>

<file path=customXml/itemProps3.xml><?xml version="1.0" encoding="utf-8"?>
<ds:datastoreItem xmlns:ds="http://schemas.openxmlformats.org/officeDocument/2006/customXml" ds:itemID="{BEFCD018-CAF9-4147-8F9D-0347E4BAF31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Graham</dc:creator>
  <cp:keywords/>
  <dc:description/>
  <cp:lastModifiedBy>Mark Graham</cp:lastModifiedBy>
  <cp:revision/>
  <dcterms:created xsi:type="dcterms:W3CDTF">2024-02-01T17:12:37Z</dcterms:created>
  <dcterms:modified xsi:type="dcterms:W3CDTF">2025-11-21T12:51:38Z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0x01010015284467DF38F345A2338EAEEE810A35</vt:lpwstr>
  </property>
  <property fmtid="{D5CDD505-2E9C-101B-9397-08002B2CF9AE}" pid="3" name="MediaServiceImageTags">
    <vt:lpwstr/>
  </property>
</Properties>
</file>